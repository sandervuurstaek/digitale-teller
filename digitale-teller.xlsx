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r Vuurstaek\Dropbox\"/>
    </mc:Choice>
  </mc:AlternateContent>
  <xr:revisionPtr revIDLastSave="0" documentId="13_ncr:1_{9F556223-E530-48AF-A4E9-2B608A560D7F}" xr6:coauthVersionLast="46" xr6:coauthVersionMax="46" xr10:uidLastSave="{00000000-0000-0000-0000-000000000000}"/>
  <bookViews>
    <workbookView xWindow="-110" yWindow="-110" windowWidth="19420" windowHeight="11760" xr2:uid="{057D9BC0-98AB-4B09-B078-34CB66DB4C3B}"/>
  </bookViews>
  <sheets>
    <sheet name="Berekening" sheetId="1" r:id="rId1"/>
    <sheet name="Retroactieve investeringsprem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I17" i="1" s="1"/>
  <c r="D17" i="1"/>
  <c r="D16" i="1"/>
  <c r="H17" i="1" l="1"/>
  <c r="E17" i="1"/>
  <c r="J17" i="1"/>
  <c r="G17" i="1"/>
  <c r="F17" i="1"/>
  <c r="G16" i="1"/>
  <c r="F16" i="1"/>
  <c r="H16" i="1"/>
  <c r="I16" i="1"/>
  <c r="J16" i="1"/>
  <c r="E16" i="1"/>
</calcChain>
</file>

<file path=xl/sharedStrings.xml><?xml version="1.0" encoding="utf-8"?>
<sst xmlns="http://schemas.openxmlformats.org/spreadsheetml/2006/main" count="21" uniqueCount="20">
  <si>
    <t>Geïnstalleerd vermogen (kWp)</t>
  </si>
  <si>
    <t>Opbrengst per jaar (kWh)</t>
  </si>
  <si>
    <t>Vermogen omvormer (kVA)</t>
  </si>
  <si>
    <t>Prosumententarief per kVA (€)</t>
  </si>
  <si>
    <t>Energieprijs per kWh (€)</t>
  </si>
  <si>
    <t>Terugleververgoeding per kWh (€)</t>
  </si>
  <si>
    <t>https://www.vreg.be/nl/prosumententarief-2021</t>
  </si>
  <si>
    <t>Zelfverbruik (%)</t>
  </si>
  <si>
    <t>Simulatieduur (jaar)</t>
  </si>
  <si>
    <t>Zie</t>
  </si>
  <si>
    <t>voor 2021</t>
  </si>
  <si>
    <t>Opbrengst per jaar digitale teller</t>
  </si>
  <si>
    <t>Opbrengst per jaar analoge teller</t>
  </si>
  <si>
    <t>Installatiejaar digitale teller (op 31 december van dat jaar)</t>
  </si>
  <si>
    <t>Installatiejaar zonnepanelen</t>
  </si>
  <si>
    <t>Bron:</t>
  </si>
  <si>
    <t>https://energiesparen.be/retroactieve-investeringspremie/faq/zonder-digitale-meter</t>
  </si>
  <si>
    <t>Jaar plaatsing digitale meter</t>
  </si>
  <si>
    <t>Jaar indienstname zonnepanelen</t>
  </si>
  <si>
    <t>Verbruik per jaar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</si>
</sst>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_ [$€-813]\ * #,##0.00_ ;_ [$€-813]\ * \-#,##0.00_ ;_ [$€-813]\ * &quot;-&quot;??_ ;_ @_ "/>
    <numFmt numFmtId="165" formatCode="0.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2"/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1" applyNumberFormat="1" applyFont="1"/>
    <xf numFmtId="0" fontId="0" fillId="0" borderId="0" xfId="0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2" fillId="0" borderId="0" xfId="0" applyFont="1"/>
    <xf numFmtId="0" fontId="7" fillId="0" borderId="0" xfId="0" applyFont="1" applyFill="1" applyBorder="1" applyAlignment="1">
      <alignment horizontal="right"/>
    </xf>
    <xf numFmtId="0" fontId="2" fillId="0" borderId="0" xfId="0" applyFont="1" applyBorder="1"/>
    <xf numFmtId="0" fontId="0" fillId="0" borderId="0" xfId="0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44" fontId="0" fillId="0" borderId="1" xfId="1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Fill="1" applyBorder="1" applyAlignment="1">
      <alignment horizontal="center" vertical="center" wrapText="1"/>
    </xf>
  </cellXfs>
  <cellStyles count="3">
    <cellStyle name="Hyperlink" xfId="2" builtinId="8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Met installatie digitale teller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F6-4CB9-ACB3-EB8DB7D0D7BA}"/>
              </c:ext>
            </c:extLst>
          </c:dPt>
          <c:cat>
            <c:strRef>
              <c:f>Berekening!$E$15:$J$15</c:f>
              <c:strCache>
                <c:ptCount val="6"/>
                <c:pt idx="0">
                  <c:v>voor 2021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Berekening!$E$16:$J$16</c:f>
              <c:numCache>
                <c:formatCode>_("€"* #,##0.00_);_("€"* \(#,##0.00\);_("€"* "-"??_);_(@_)</c:formatCode>
                <c:ptCount val="6"/>
                <c:pt idx="0">
                  <c:v>6483</c:v>
                </c:pt>
                <c:pt idx="1">
                  <c:v>6515.4</c:v>
                </c:pt>
                <c:pt idx="2">
                  <c:v>6363.8</c:v>
                </c:pt>
                <c:pt idx="3">
                  <c:v>6348.2</c:v>
                </c:pt>
                <c:pt idx="4">
                  <c:v>6328.6</c:v>
                </c:pt>
                <c:pt idx="5">
                  <c:v>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6-4CB9-ACB3-EB8DB7D0D7BA}"/>
            </c:ext>
          </c:extLst>
        </c:ser>
        <c:ser>
          <c:idx val="1"/>
          <c:order val="1"/>
          <c:tx>
            <c:v>Zonder installate digitale teller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Berekening!$E$17:$J$17</c:f>
              <c:numCache>
                <c:formatCode>_("€"* #,##0.00_);_("€"* \(#,##0.00\);_("€"* "-"??_);_(@_)</c:formatCode>
                <c:ptCount val="6"/>
                <c:pt idx="0">
                  <c:v>5499</c:v>
                </c:pt>
                <c:pt idx="1">
                  <c:v>5499</c:v>
                </c:pt>
                <c:pt idx="2">
                  <c:v>5499</c:v>
                </c:pt>
                <c:pt idx="3">
                  <c:v>5499</c:v>
                </c:pt>
                <c:pt idx="4">
                  <c:v>5499</c:v>
                </c:pt>
                <c:pt idx="5">
                  <c:v>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58-43F1-AF4D-C31D062C4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1949312"/>
        <c:axId val="301949728"/>
      </c:lineChart>
      <c:catAx>
        <c:axId val="30194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Berekening!$E$14</c:f>
              <c:strCache>
                <c:ptCount val="1"/>
                <c:pt idx="0">
                  <c:v>Installatiejaar digitale teller (op 31 december van dat jaar)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01949728"/>
        <c:crosses val="autoZero"/>
        <c:auto val="1"/>
        <c:lblAlgn val="ctr"/>
        <c:lblOffset val="100"/>
        <c:tickMarkSkip val="1"/>
        <c:noMultiLvlLbl val="0"/>
      </c:catAx>
      <c:valAx>
        <c:axId val="3019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Berekening!$D$16</c:f>
              <c:strCache>
                <c:ptCount val="1"/>
                <c:pt idx="0">
                  <c:v>Totale geschatte opbrengst van 1 januari 2021 tot 1 januari 2031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0194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1868506</xdr:colOff>
      <xdr:row>18</xdr:row>
      <xdr:rowOff>14284</xdr:rowOff>
    </xdr:from>
    <xdr:to>
      <xdr:col>10</xdr:col>
      <xdr:colOff>0</xdr:colOff>
      <xdr:row>46</xdr:row>
      <xdr:rowOff>153276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EBECA9C-CB67-4EAC-9F27-A8FDEF71F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vreg.be/nl/prosumententarief-202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ergiesparen.be/retroactieve-investeringspremie/faq/zonder-digitale-me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827E-410E-456A-B5E5-80E9F4F2726D}">
  <dimension ref="A1:L17"/>
  <sheetViews>
    <sheetView tabSelected="1" zoomScale="87" workbookViewId="0">
      <selection activeCell="E11" sqref="E11"/>
    </sheetView>
  </sheetViews>
  <sheetFormatPr defaultRowHeight="14.5" x14ac:dyDescent="0.35"/>
  <cols>
    <col min="1" max="1" width="32" bestFit="1" customWidth="1"/>
    <col min="4" max="4" width="58" bestFit="1" customWidth="1"/>
    <col min="5" max="5" width="12.453125" bestFit="1" customWidth="1"/>
    <col min="6" max="10" width="12" bestFit="1" customWidth="1"/>
    <col min="12" max="12" width="9.1796875" customWidth="1"/>
  </cols>
  <sheetData>
    <row r="1" spans="1:12" x14ac:dyDescent="0.35">
      <c r="A1" t="s">
        <v>0</v>
      </c>
      <c r="B1">
        <v>4</v>
      </c>
    </row>
    <row r="2" spans="1:12" x14ac:dyDescent="0.35">
      <c r="A2" t="s">
        <v>1</v>
      </c>
      <c r="B2">
        <v>3600</v>
      </c>
    </row>
    <row r="3" spans="1:12" x14ac:dyDescent="0.35">
      <c r="A3" t="s">
        <v>19</v>
      </c>
      <c r="B3">
        <v>4000</v>
      </c>
    </row>
    <row r="4" spans="1:12" x14ac:dyDescent="0.35">
      <c r="A4" t="s">
        <v>3</v>
      </c>
      <c r="B4">
        <v>72.25</v>
      </c>
      <c r="C4" s="2" t="s">
        <v>9</v>
      </c>
      <c r="D4" s="1" t="s">
        <v>6</v>
      </c>
    </row>
    <row r="5" spans="1:12" x14ac:dyDescent="0.35">
      <c r="A5" t="s">
        <v>2</v>
      </c>
      <c r="B5">
        <v>3.6</v>
      </c>
    </row>
    <row r="6" spans="1:12" x14ac:dyDescent="0.35">
      <c r="A6" t="s">
        <v>14</v>
      </c>
      <c r="B6">
        <v>2020</v>
      </c>
    </row>
    <row r="7" spans="1:12" x14ac:dyDescent="0.35">
      <c r="A7" t="s">
        <v>4</v>
      </c>
      <c r="B7" s="13">
        <v>0.22500000000000001</v>
      </c>
    </row>
    <row r="8" spans="1:12" x14ac:dyDescent="0.35">
      <c r="A8" t="s">
        <v>5</v>
      </c>
      <c r="B8" s="13">
        <v>0.1</v>
      </c>
    </row>
    <row r="9" spans="1:12" x14ac:dyDescent="0.35">
      <c r="A9" t="s">
        <v>7</v>
      </c>
      <c r="B9">
        <v>35</v>
      </c>
    </row>
    <row r="10" spans="1:12" x14ac:dyDescent="0.35">
      <c r="A10" t="s">
        <v>8</v>
      </c>
      <c r="B10">
        <v>10</v>
      </c>
    </row>
    <row r="11" spans="1:12" x14ac:dyDescent="0.35">
      <c r="D11" s="2" t="s">
        <v>12</v>
      </c>
      <c r="E11" s="4">
        <f>(B7*B2)-(B4*B5)-MAX(B2-B3,0)*B7</f>
        <v>549.9</v>
      </c>
    </row>
    <row r="12" spans="1:12" x14ac:dyDescent="0.35">
      <c r="D12" s="2" t="s">
        <v>11</v>
      </c>
      <c r="E12" s="4">
        <f>(B7*B2*B9/100)+(B8*B2*(1-B9/100))-MAX(B2-B3,0)*B8</f>
        <v>517.5</v>
      </c>
    </row>
    <row r="14" spans="1:12" x14ac:dyDescent="0.35">
      <c r="E14" s="17" t="s">
        <v>13</v>
      </c>
      <c r="F14" s="18"/>
      <c r="G14" s="18"/>
      <c r="H14" s="18"/>
      <c r="I14" s="18"/>
      <c r="J14" s="19"/>
    </row>
    <row r="15" spans="1:12" x14ac:dyDescent="0.35">
      <c r="D15" s="3"/>
      <c r="E15" s="3" t="s">
        <v>10</v>
      </c>
      <c r="F15" s="3">
        <v>2021</v>
      </c>
      <c r="G15" s="3">
        <v>2022</v>
      </c>
      <c r="H15" s="3">
        <v>2023</v>
      </c>
      <c r="I15" s="3">
        <v>2024</v>
      </c>
      <c r="J15" s="3">
        <v>2025</v>
      </c>
    </row>
    <row r="16" spans="1:12" x14ac:dyDescent="0.35">
      <c r="D16" s="3" t="str">
        <f>"Totale geschatte opbrengst van 1 januari 2021 tot 1 januari "&amp;2021+B10</f>
        <v>Totale geschatte opbrengst van 1 januari 2021 tot 1 januari 2031</v>
      </c>
      <c r="E16" s="15">
        <f>0*$E$11+($B$10-0)*$E$12+INDEX('Retroactieve investeringspremie'!C5:H19,MATCH($B$6,'Retroactieve investeringspremie'!B5:B19,0),1)*MIN($B$1,10)</f>
        <v>6483</v>
      </c>
      <c r="F16" s="15">
        <f>1*$E$11+($B$10-1)*$E$12+INDEX('Retroactieve investeringspremie'!C5:H19,MATCH($B$6,'Retroactieve investeringspremie'!B5:B19,0),2)*MIN($B$1,10)</f>
        <v>6515.4</v>
      </c>
      <c r="G16" s="15">
        <f>2*$E$11+($B$10-2)*$E$12+INDEX('Retroactieve investeringspremie'!C5:H19,MATCH($B$6,'Retroactieve investeringspremie'!B5:B19,0),3)*MIN($B$1,10)</f>
        <v>6363.8</v>
      </c>
      <c r="H16" s="15">
        <f>3*$E$11+($B$10-3)*$E$12+INDEX('Retroactieve investeringspremie'!C5:H19,MATCH($B$6,'Retroactieve investeringspremie'!B5:B19,0),4)*MIN($B$1,10)</f>
        <v>6348.2</v>
      </c>
      <c r="I16" s="15">
        <f>4*$E$11+($B$10-4)*$E$12+INDEX('Retroactieve investeringspremie'!C5:H19,MATCH($B$6,'Retroactieve investeringspremie'!B5:B19,0),5)*MIN($B$1,10)</f>
        <v>6328.6</v>
      </c>
      <c r="J16" s="15">
        <f>5*$E$11+($B$10-5)*$E$12+INDEX('Retroactieve investeringspremie'!C5:H19,MATCH($B$6,'Retroactieve investeringspremie'!B5:B19,0),6)*MIN($B$1,10)</f>
        <v>6305</v>
      </c>
      <c r="L16" s="14"/>
    </row>
    <row r="17" spans="4:10" ht="29" x14ac:dyDescent="0.35">
      <c r="D17" s="16" t="str">
        <f>"Totale geschatte opbrengst van 1 januari 2021 tot 1 januari "&amp;2021+B10&amp;" zonder installatie digitale teller"</f>
        <v>Totale geschatte opbrengst van 1 januari 2021 tot 1 januari 2031 zonder installatie digitale teller</v>
      </c>
      <c r="E17" s="15">
        <f>$E$11*$B$10</f>
        <v>5499</v>
      </c>
      <c r="F17" s="15">
        <f>$E$11*$B$10</f>
        <v>5499</v>
      </c>
      <c r="G17" s="15">
        <f>$E$11*$B$10</f>
        <v>5499</v>
      </c>
      <c r="H17" s="15">
        <f>$E$11*$B$10</f>
        <v>5499</v>
      </c>
      <c r="I17" s="15">
        <f>$E$11*$B$10</f>
        <v>5499</v>
      </c>
      <c r="J17" s="15">
        <f>$E$11*$B$10</f>
        <v>5499</v>
      </c>
    </row>
  </sheetData>
  <mergeCells count="1">
    <mergeCell ref="E14:J14"/>
  </mergeCells>
  <dataValidations count="3">
    <dataValidation type="whole" operator="greaterThanOrEqual" allowBlank="1" showInputMessage="1" showErrorMessage="1" errorTitle="Ongeldige invoer" error="Simulatieduur moet minstens 5 jaar zijn." sqref="B10" xr:uid="{E5C70FA5-443F-4672-960D-9669D026BD29}">
      <formula1>5</formula1>
    </dataValidation>
    <dataValidation type="whole" allowBlank="1" showInputMessage="1" showErrorMessage="1" errorTitle="Ongeldige invoer" error="Deze berekening geldt enkel voor installatiejaren tussen 2006 en 2020." sqref="B6" xr:uid="{603D55A8-660D-4FFE-A6B6-4B0E4360670E}">
      <formula1>2006</formula1>
      <formula2>2020</formula2>
    </dataValidation>
    <dataValidation type="decimal" allowBlank="1" showInputMessage="1" showErrorMessage="1" errorTitle="Ongeldige invoer" error="Zelfverbruik moet tussen 0%  en 100% liggen." sqref="B9" xr:uid="{8374F796-3996-46C1-8D7D-0A1B8462007B}">
      <formula1>0</formula1>
      <formula2>100</formula2>
    </dataValidation>
  </dataValidations>
  <hyperlinks>
    <hyperlink ref="D4" r:id="rId1" xr:uid="{6ABAB446-18B4-43FB-B306-C8DB92E2FEC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6CB3-19AE-4AE2-85FB-5E45CDC6DE96}">
  <dimension ref="A1:J22"/>
  <sheetViews>
    <sheetView workbookViewId="0">
      <selection activeCell="C1" sqref="C1"/>
    </sheetView>
  </sheetViews>
  <sheetFormatPr defaultRowHeight="14.5" x14ac:dyDescent="0.35"/>
  <cols>
    <col min="1" max="1" width="13.7265625" customWidth="1"/>
    <col min="2" max="2" width="9.1796875" style="9"/>
    <col min="3" max="3" width="8.54296875" customWidth="1"/>
  </cols>
  <sheetData>
    <row r="1" spans="1:10" x14ac:dyDescent="0.35">
      <c r="B1" s="12" t="s">
        <v>15</v>
      </c>
      <c r="C1" s="1" t="s">
        <v>16</v>
      </c>
    </row>
    <row r="3" spans="1:10" ht="15" customHeight="1" x14ac:dyDescent="0.35">
      <c r="A3" s="6"/>
      <c r="B3" s="7"/>
      <c r="C3" s="20" t="s">
        <v>17</v>
      </c>
      <c r="D3" s="20"/>
      <c r="E3" s="20"/>
      <c r="F3" s="20"/>
      <c r="G3" s="20"/>
      <c r="H3" s="20"/>
      <c r="I3" s="5"/>
      <c r="J3" s="5"/>
    </row>
    <row r="4" spans="1:10" ht="29" x14ac:dyDescent="0.35">
      <c r="A4" s="6"/>
      <c r="B4" s="10"/>
      <c r="C4" s="7" t="s">
        <v>10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5"/>
      <c r="J4" s="5"/>
    </row>
    <row r="5" spans="1:10" ht="15" customHeight="1" x14ac:dyDescent="0.35">
      <c r="A5" s="20" t="s">
        <v>18</v>
      </c>
      <c r="B5" s="7">
        <v>2020</v>
      </c>
      <c r="C5" s="8">
        <v>327</v>
      </c>
      <c r="D5" s="8">
        <v>327</v>
      </c>
      <c r="E5" s="8">
        <v>281</v>
      </c>
      <c r="F5" s="8">
        <v>269</v>
      </c>
      <c r="G5" s="8">
        <v>256</v>
      </c>
      <c r="H5" s="8">
        <v>242</v>
      </c>
      <c r="I5" s="5"/>
      <c r="J5" s="5"/>
    </row>
    <row r="6" spans="1:10" ht="30" customHeight="1" x14ac:dyDescent="0.35">
      <c r="A6" s="20"/>
      <c r="B6" s="7">
        <v>2019</v>
      </c>
      <c r="C6" s="8">
        <v>336</v>
      </c>
      <c r="D6" s="8">
        <v>336</v>
      </c>
      <c r="E6" s="8">
        <v>291</v>
      </c>
      <c r="F6" s="8">
        <v>279</v>
      </c>
      <c r="G6" s="8">
        <v>266</v>
      </c>
      <c r="H6" s="8">
        <v>253</v>
      </c>
      <c r="I6" s="5"/>
      <c r="J6" s="5"/>
    </row>
    <row r="7" spans="1:10" ht="30" customHeight="1" x14ac:dyDescent="0.35">
      <c r="A7" s="20"/>
      <c r="B7" s="7">
        <v>2018</v>
      </c>
      <c r="C7" s="8">
        <v>348</v>
      </c>
      <c r="D7" s="8">
        <v>348</v>
      </c>
      <c r="E7" s="8">
        <v>304</v>
      </c>
      <c r="F7" s="8">
        <v>292</v>
      </c>
      <c r="G7" s="8">
        <v>280</v>
      </c>
      <c r="H7" s="8">
        <v>267</v>
      </c>
      <c r="I7" s="5"/>
      <c r="J7" s="5"/>
    </row>
    <row r="8" spans="1:10" x14ac:dyDescent="0.35">
      <c r="A8" s="20"/>
      <c r="B8" s="7">
        <v>2017</v>
      </c>
      <c r="C8" s="8">
        <v>382</v>
      </c>
      <c r="D8" s="8">
        <v>382</v>
      </c>
      <c r="E8" s="8">
        <v>340</v>
      </c>
      <c r="F8" s="8">
        <v>330</v>
      </c>
      <c r="G8" s="8">
        <v>320</v>
      </c>
      <c r="H8" s="8">
        <v>309</v>
      </c>
      <c r="I8" s="5"/>
      <c r="J8" s="5"/>
    </row>
    <row r="9" spans="1:10" x14ac:dyDescent="0.35">
      <c r="A9" s="20"/>
      <c r="B9" s="7">
        <v>2016</v>
      </c>
      <c r="C9" s="8">
        <v>436</v>
      </c>
      <c r="D9" s="8">
        <v>436</v>
      </c>
      <c r="E9" s="8">
        <v>396</v>
      </c>
      <c r="F9" s="8">
        <v>389</v>
      </c>
      <c r="G9" s="8">
        <v>382</v>
      </c>
      <c r="H9" s="8">
        <v>375</v>
      </c>
      <c r="I9" s="5"/>
      <c r="J9" s="5"/>
    </row>
    <row r="10" spans="1:10" x14ac:dyDescent="0.35">
      <c r="A10" s="20"/>
      <c r="B10" s="7">
        <v>2015</v>
      </c>
      <c r="C10" s="8">
        <v>383</v>
      </c>
      <c r="D10" s="8">
        <v>383</v>
      </c>
      <c r="E10" s="8">
        <v>341</v>
      </c>
      <c r="F10" s="8">
        <v>331</v>
      </c>
      <c r="G10" s="8">
        <v>321</v>
      </c>
      <c r="H10" s="8">
        <v>311</v>
      </c>
      <c r="I10" s="5"/>
      <c r="J10" s="5"/>
    </row>
    <row r="11" spans="1:10" x14ac:dyDescent="0.35">
      <c r="A11" s="20"/>
      <c r="B11" s="7">
        <v>2014</v>
      </c>
      <c r="C11" s="8">
        <v>289</v>
      </c>
      <c r="D11" s="8">
        <v>289</v>
      </c>
      <c r="E11" s="8">
        <v>242</v>
      </c>
      <c r="F11" s="8">
        <v>227</v>
      </c>
      <c r="G11" s="8">
        <v>212</v>
      </c>
      <c r="H11" s="8">
        <v>196</v>
      </c>
      <c r="I11" s="5"/>
      <c r="J11" s="5"/>
    </row>
    <row r="12" spans="1:10" x14ac:dyDescent="0.35">
      <c r="A12" s="20"/>
      <c r="B12" s="7">
        <v>2013</v>
      </c>
      <c r="C12" s="8">
        <v>12</v>
      </c>
      <c r="D12" s="8">
        <v>12</v>
      </c>
      <c r="E12" s="8">
        <v>0</v>
      </c>
      <c r="F12" s="8">
        <v>0</v>
      </c>
      <c r="G12" s="8">
        <v>0</v>
      </c>
      <c r="H12" s="8">
        <v>0</v>
      </c>
      <c r="I12" s="5"/>
      <c r="J12" s="5"/>
    </row>
    <row r="13" spans="1:10" x14ac:dyDescent="0.35">
      <c r="A13" s="20"/>
      <c r="B13" s="7">
        <v>2012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5"/>
      <c r="J13" s="5"/>
    </row>
    <row r="14" spans="1:10" x14ac:dyDescent="0.35">
      <c r="A14" s="20"/>
      <c r="B14" s="7">
        <v>2011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5"/>
      <c r="J14" s="5"/>
    </row>
    <row r="15" spans="1:10" x14ac:dyDescent="0.35">
      <c r="A15" s="20"/>
      <c r="B15" s="7">
        <v>2010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5"/>
      <c r="J15" s="5"/>
    </row>
    <row r="16" spans="1:10" x14ac:dyDescent="0.35">
      <c r="A16" s="20"/>
      <c r="B16" s="7">
        <v>2009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5"/>
      <c r="J16" s="5"/>
    </row>
    <row r="17" spans="1:10" x14ac:dyDescent="0.35">
      <c r="A17" s="20"/>
      <c r="B17" s="7">
        <v>2008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5"/>
      <c r="J17" s="5"/>
    </row>
    <row r="18" spans="1:10" x14ac:dyDescent="0.35">
      <c r="A18" s="20"/>
      <c r="B18" s="7">
        <v>2007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5"/>
      <c r="J18" s="5"/>
    </row>
    <row r="19" spans="1:10" x14ac:dyDescent="0.35">
      <c r="A19" s="20"/>
      <c r="B19" s="7">
        <v>2006</v>
      </c>
      <c r="C19" s="8">
        <v>140</v>
      </c>
      <c r="D19" s="8">
        <v>140</v>
      </c>
      <c r="E19" s="8">
        <v>0</v>
      </c>
      <c r="F19" s="8">
        <v>0</v>
      </c>
      <c r="G19" s="8">
        <v>0</v>
      </c>
      <c r="H19" s="8">
        <v>0</v>
      </c>
      <c r="I19" s="5"/>
      <c r="J19" s="5"/>
    </row>
    <row r="20" spans="1:10" x14ac:dyDescent="0.35">
      <c r="A20" s="5"/>
      <c r="B20" s="11"/>
      <c r="C20" s="5"/>
      <c r="D20" s="5"/>
      <c r="E20" s="5"/>
      <c r="F20" s="5"/>
      <c r="G20" s="5"/>
      <c r="H20" s="5"/>
      <c r="I20" s="5"/>
      <c r="J20" s="5"/>
    </row>
    <row r="21" spans="1:10" x14ac:dyDescent="0.35">
      <c r="A21" s="5"/>
      <c r="B21" s="11"/>
      <c r="C21" s="5"/>
      <c r="D21" s="5"/>
      <c r="E21" s="5"/>
      <c r="F21" s="5"/>
      <c r="G21" s="5"/>
      <c r="H21" s="5"/>
      <c r="I21" s="5"/>
      <c r="J21" s="5"/>
    </row>
    <row r="22" spans="1:10" x14ac:dyDescent="0.35">
      <c r="A22" s="5"/>
      <c r="B22" s="11"/>
      <c r="C22" s="5"/>
      <c r="D22" s="5"/>
      <c r="E22" s="5"/>
      <c r="F22" s="5"/>
      <c r="G22" s="5"/>
      <c r="H22" s="5"/>
      <c r="I22" s="5"/>
      <c r="J22" s="5"/>
    </row>
  </sheetData>
  <mergeCells count="2">
    <mergeCell ref="C3:H3"/>
    <mergeCell ref="A5:A19"/>
  </mergeCells>
  <hyperlinks>
    <hyperlink ref="C1" r:id="rId1" xr:uid="{F0046B2D-8534-478D-A433-E21AFE1CAB8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Berekening</vt:lpstr>
      <vt:lpstr>Retroactieve investeringspremie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Vuurstaek</dc:creator>
  <cp:lastModifiedBy>Sander Vuurstaek</cp:lastModifiedBy>
  <dcterms:created xsi:type="dcterms:W3CDTF">2021-03-24T11:43:37Z</dcterms:created>
  <dcterms:modified xsi:type="dcterms:W3CDTF">2021-03-24T23:00:07Z</dcterms:modified>
</cp:coreProperties>
</file>